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здание отчета" sheetId="1" r:id="rId4"/>
  </sheets>
  <definedNames/>
  <calcPr/>
  <extLst>
    <ext uri="GoogleSheetsCustomDataVersion2">
      <go:sheetsCustomData xmlns:go="http://customooxmlschemas.google.com/" r:id="rId5" roundtripDataChecksum="ERnD8Geal1Zdca9cMOOwIwug0j4lR6uYLqyGdk1UHrc="/>
    </ext>
  </extLst>
</workbook>
</file>

<file path=xl/sharedStrings.xml><?xml version="1.0" encoding="utf-8"?>
<sst xmlns="http://schemas.openxmlformats.org/spreadsheetml/2006/main" count="175" uniqueCount="120">
  <si>
    <t>Техническое задание на создание отчёта</t>
  </si>
  <si>
    <t>1.</t>
  </si>
  <si>
    <t>Общая информация</t>
  </si>
  <si>
    <t>Название отчёта</t>
  </si>
  <si>
    <t>Анализ динамики продаж "МаркетПро"</t>
  </si>
  <si>
    <t>Бизнес-цель отчёта</t>
  </si>
  <si>
    <t>Быстро оценивать и контролировать динамику продаж, активности пользователей и качество товаров для принятия оперативных бизнес-решений</t>
  </si>
  <si>
    <t>Подразделение заказчика</t>
  </si>
  <si>
    <t>Отдел продаж</t>
  </si>
  <si>
    <t>Заказчик</t>
  </si>
  <si>
    <t>Руководитель отдела продаж</t>
  </si>
  <si>
    <t>Целевая аудитория дашборда</t>
  </si>
  <si>
    <t>Руководитель, маркетологи, менеджеры отдела продаж</t>
  </si>
  <si>
    <t>Дата</t>
  </si>
  <si>
    <t>10.08.2026 г.</t>
  </si>
  <si>
    <t>Автор</t>
  </si>
  <si>
    <t>Мельников Даниил</t>
  </si>
  <si>
    <t>Ссылка на дашборд</t>
  </si>
  <si>
    <t>https://superset.bi-analysts.education-services.ru/superset/dashboard/3162/?native_filters_key=Iiq_92pa1WyBEhHxTgRMVRRW1lerhP-bxu-1Wx8OlK4znOUS6M5iIqLpqtMkfrbY</t>
  </si>
  <si>
    <t>2.</t>
  </si>
  <si>
    <t xml:space="preserve">Описание дашборда: цели (заполняется позже)
</t>
  </si>
  <si>
    <t>№</t>
  </si>
  <si>
    <t>Цель дашборда</t>
  </si>
  <si>
    <t>Почему это важно</t>
  </si>
  <si>
    <t>Что анализируется/Какие вопросы решаются</t>
  </si>
  <si>
    <t>Мониторинг продаж</t>
  </si>
  <si>
    <t>Понимать, в каком состоянии находится бизнес</t>
  </si>
  <si>
    <t>Выручка, кол-во заказов и их объемы, средний чек, выручка с одного пользователя</t>
  </si>
  <si>
    <t>Оценка активности пользователей</t>
  </si>
  <si>
    <t>Вовлечение пользователей в продукт с целью увеличения прибыльности</t>
  </si>
  <si>
    <t>Активные пользователи, написание отзывов, % пользователей, совершающих покупки, количество продавцов и покупателей, их срок жизни и возвращаемость к продукту</t>
  </si>
  <si>
    <t>Оценка качества товара</t>
  </si>
  <si>
    <t>Чем качественне товар, тем выше удовлетворенность пользователей</t>
  </si>
  <si>
    <t>рейтинг товаров, отзывы</t>
  </si>
  <si>
    <t>Показатели / метрики</t>
  </si>
  <si>
    <t>Название показателя</t>
  </si>
  <si>
    <t>Логика расчёта</t>
  </si>
  <si>
    <t>Источник данных (базы данных, ссылки, Google Таблицы, расчёт и другие)</t>
  </si>
  <si>
    <t>Комментарий</t>
  </si>
  <si>
    <t>Категория метрики</t>
  </si>
  <si>
    <t>GMV(Gross Merchandise Value)</t>
  </si>
  <si>
    <t>COALESCE(SUM(total_amount), 0)</t>
  </si>
  <si>
    <t>marketplace.orders</t>
  </si>
  <si>
    <t>Общая выручка</t>
  </si>
  <si>
    <t>Базовые</t>
  </si>
  <si>
    <t>Количество заказов</t>
  </si>
  <si>
    <t>COALESCE(COUNT(DISTINCT order_id), 0)</t>
  </si>
  <si>
    <t>Количество продавцов</t>
  </si>
  <si>
    <t>COALESCE(COUNT(DISTINCT user_id, 0)
где user_type = 'buyer'</t>
  </si>
  <si>
    <t>marketplace.users</t>
  </si>
  <si>
    <t>Количество покупателей</t>
  </si>
  <si>
    <t>COALESCE(COUNT(DISTINCT user_id, 0)
где user_type = 'seller'</t>
  </si>
  <si>
    <t>Конверсия</t>
  </si>
  <si>
    <t>COUNT(DISTINCT o.buyer_id) / COUNT(DISTINCT u.user_id)</t>
  </si>
  <si>
    <t>marketplace.users + marketplace.orders</t>
  </si>
  <si>
    <t>Доля пользователей, совершающих покупки</t>
  </si>
  <si>
    <t>Производные</t>
  </si>
  <si>
    <t>Средний чек</t>
  </si>
  <si>
    <t>SUM(total_amount) / COUNT(order_id)</t>
  </si>
  <si>
    <t>выручка на кол-во заказов</t>
  </si>
  <si>
    <t>Кол-во позиций в заказе</t>
  </si>
  <si>
    <t>ROUND(AVG(SUM(quantity)), 2) по order_id</t>
  </si>
  <si>
    <t>marketplace.order_items</t>
  </si>
  <si>
    <t>Среднее кол-во позиций в корзине</t>
  </si>
  <si>
    <t>Retention Rate</t>
  </si>
  <si>
    <t>Кол-во пользователей, сделавших заказ в первый месяц после регистрации</t>
  </si>
  <si>
    <t>Кол-во отзывов</t>
  </si>
  <si>
    <t>COALESCE(COUNT(DISTINCT review_id), 0)
где comment не пустой</t>
  </si>
  <si>
    <t>marketplace.reviews</t>
  </si>
  <si>
    <t>Активность пользователей в оставлении отзывов</t>
  </si>
  <si>
    <t>Средний рейтинг</t>
  </si>
  <si>
    <t>ROUND(AVG(rating), 2)</t>
  </si>
  <si>
    <t>Удовлетворенность пользователей</t>
  </si>
  <si>
    <t>LTV</t>
  </si>
  <si>
    <t>Выручка за 3 мес / кол-во пользователей в когорте</t>
  </si>
  <si>
    <t>ARPU</t>
  </si>
  <si>
    <t>Суммарная выручка / число активных пользователей</t>
  </si>
  <si>
    <t>ARPPU</t>
  </si>
  <si>
    <t>Суммарная выручка / число платящих пользователей</t>
  </si>
  <si>
    <t>DAU</t>
  </si>
  <si>
    <t>COUNT(DISTINCT buyer_id) по дням</t>
  </si>
  <si>
    <t>3. Фильтры</t>
  </si>
  <si>
    <t>Название фильтра</t>
  </si>
  <si>
    <t>Значения фильтра</t>
  </si>
  <si>
    <t>диапазон</t>
  </si>
  <si>
    <t>Категория товара</t>
  </si>
  <si>
    <t>name из marketplace.categories</t>
  </si>
  <si>
    <t>Статус заказа</t>
  </si>
  <si>
    <t>status из marketplace.orders</t>
  </si>
  <si>
    <t>Диапазон рейтингов</t>
  </si>
  <si>
    <t>rating из marketplace.reviews</t>
  </si>
  <si>
    <t>дробное число</t>
  </si>
  <si>
    <t>4. Визуализации</t>
  </si>
  <si>
    <t>Вкладка "Продажи"</t>
  </si>
  <si>
    <t>График</t>
  </si>
  <si>
    <t>Пример</t>
  </si>
  <si>
    <t>Общая выручка (GMV)</t>
  </si>
  <si>
    <t>Big Number with Trendline</t>
  </si>
  <si>
    <t>Общая выручка за период + изменение по месяцам и сравнение с предыдущим периодом</t>
  </si>
  <si>
    <t>Общее количество заказов</t>
  </si>
  <si>
    <t>Количество заказов за период + изменение по месяцам и сравнение с предыдущим периодом</t>
  </si>
  <si>
    <t>Big Number</t>
  </si>
  <si>
    <t>Изменение среднего чека отражает поведение покупателей</t>
  </si>
  <si>
    <t>Line Chart</t>
  </si>
  <si>
    <t>Изменение среднего дохода на одного пользователя</t>
  </si>
  <si>
    <t>Изменение среднего дохода на одного пользователя, совершившего хотя бы один заказ</t>
  </si>
  <si>
    <t>Среднее количество товаров в заказе</t>
  </si>
  <si>
    <t>Изменение метрики показывает степень взаимодействия покупателя с продуктом в рамках одной сделки</t>
  </si>
  <si>
    <t>Изменение метрики говорит о качестве товаров</t>
  </si>
  <si>
    <t>Вкладка "Пользователи"</t>
  </si>
  <si>
    <t>Высокая активность пользователей предполагает увеличение количества заказов и наоборот</t>
  </si>
  <si>
    <t>Конверсия в заказ</t>
  </si>
  <si>
    <t>Изменение метрики показывает вовлеченность пользователей в продукт</t>
  </si>
  <si>
    <t>Количество отзывов</t>
  </si>
  <si>
    <t xml:space="preserve">Big Number </t>
  </si>
  <si>
    <t>Демонстрирует опыт взаимодействия других пользователей с товаром</t>
  </si>
  <si>
    <t>Демонстрирует рыночные отношения внутри продукта</t>
  </si>
  <si>
    <t>Bar Chart</t>
  </si>
  <si>
    <t>Средняя выручка на пользователя за период</t>
  </si>
  <si>
    <t>Количество пользователей, сделавших заказ в первый месяц после регистрации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</si>
</sst>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theme="1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/>
    <font>
      <u/>
      <sz val="10.0"/>
      <color theme="1"/>
      <name val="Arial"/>
    </font>
    <font>
      <sz val="10.0"/>
      <color rgb="FFCCCCCC"/>
      <name val="Arial"/>
    </font>
    <font>
      <color theme="1"/>
      <name val="Arial"/>
    </font>
    <font>
      <u/>
      <sz val="10.0"/>
      <color rgb="FF1155CC"/>
      <name val="Arial"/>
    </font>
    <font>
      <u/>
      <sz val="10.0"/>
      <color theme="1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1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readingOrder="0" vertical="center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readingOrder="0" vertical="center"/>
    </xf>
    <xf borderId="5" fillId="0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7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shrinkToFit="0" vertical="center" wrapText="1"/>
    </xf>
    <xf borderId="7" fillId="2" fontId="1" numFmtId="0" xfId="0" applyAlignment="1" applyBorder="1" applyFont="1">
      <alignment vertical="center"/>
    </xf>
    <xf borderId="8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2" fillId="2" fontId="1" numFmtId="0" xfId="0" applyAlignment="1" applyBorder="1" applyFont="1">
      <alignment horizontal="left" vertical="center"/>
    </xf>
    <xf borderId="9" fillId="2" fontId="1" numFmtId="0" xfId="0" applyAlignment="1" applyBorder="1" applyFont="1">
      <alignment vertical="center"/>
    </xf>
    <xf borderId="9" fillId="2" fontId="1" numFmtId="0" xfId="0" applyAlignment="1" applyBorder="1" applyFont="1">
      <alignment readingOrder="0" vertical="center"/>
    </xf>
    <xf borderId="2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perset.bi-analysts.education-services.ru/superset/dashboard/3162/?native_filters_key=Iiq_92pa1WyBEhHxTgRMVRRW1lerhP-bxu-1Wx8OlK4znOUS6M5iIqLpqtMkfrb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1.88"/>
    <col customWidth="1" min="3" max="3" width="34.63"/>
    <col customWidth="1" min="4" max="4" width="27.0"/>
    <col customWidth="1" min="5" max="28" width="18.8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3" t="s">
        <v>1</v>
      </c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2"/>
      <c r="B6" s="4" t="s">
        <v>3</v>
      </c>
      <c r="C6" s="5" t="s">
        <v>4</v>
      </c>
      <c r="D6" s="6"/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4" t="s">
        <v>5</v>
      </c>
      <c r="C7" s="8" t="s">
        <v>6</v>
      </c>
      <c r="D7" s="6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1"/>
      <c r="B8" s="4" t="s">
        <v>7</v>
      </c>
      <c r="C8" s="5" t="s">
        <v>8</v>
      </c>
      <c r="D8" s="6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1"/>
      <c r="B9" s="4" t="s">
        <v>9</v>
      </c>
      <c r="C9" s="5" t="s">
        <v>10</v>
      </c>
      <c r="D9" s="6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7.0" customHeight="1">
      <c r="A10" s="1"/>
      <c r="B10" s="4" t="s">
        <v>11</v>
      </c>
      <c r="C10" s="5" t="s">
        <v>12</v>
      </c>
      <c r="D10" s="6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/>
      <c r="B11" s="4" t="s">
        <v>13</v>
      </c>
      <c r="C11" s="5" t="s">
        <v>14</v>
      </c>
      <c r="D11" s="6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/>
      <c r="B12" s="4" t="s">
        <v>15</v>
      </c>
      <c r="C12" s="5" t="s">
        <v>16</v>
      </c>
      <c r="D12" s="6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4" t="s">
        <v>17</v>
      </c>
      <c r="C13" s="9" t="s">
        <v>18</v>
      </c>
      <c r="D13" s="6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3" t="s">
        <v>19</v>
      </c>
      <c r="B15" s="3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0" t="s">
        <v>21</v>
      </c>
      <c r="B16" s="11" t="s">
        <v>22</v>
      </c>
      <c r="C16" s="11" t="s">
        <v>23</v>
      </c>
      <c r="D16" s="11" t="s">
        <v>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0">
        <v>1.0</v>
      </c>
      <c r="B17" s="12" t="s">
        <v>25</v>
      </c>
      <c r="C17" s="13" t="s">
        <v>26</v>
      </c>
      <c r="D17" s="13" t="s">
        <v>27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0">
        <v>2.0</v>
      </c>
      <c r="B18" s="14" t="s">
        <v>28</v>
      </c>
      <c r="C18" s="14" t="s">
        <v>29</v>
      </c>
      <c r="D18" s="14" t="s">
        <v>30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0">
        <v>3.0</v>
      </c>
      <c r="B19" s="15" t="s">
        <v>31</v>
      </c>
      <c r="C19" s="14" t="s">
        <v>32</v>
      </c>
      <c r="D19" s="15" t="s">
        <v>33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0">
        <v>4.0</v>
      </c>
      <c r="B20" s="16"/>
      <c r="C20" s="16"/>
      <c r="D20" s="1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3" t="s">
        <v>19</v>
      </c>
      <c r="B22" s="3" t="s">
        <v>34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7"/>
      <c r="C23" s="17"/>
      <c r="D23" s="17"/>
      <c r="E23" s="1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0" t="s">
        <v>21</v>
      </c>
      <c r="B24" s="19" t="s">
        <v>35</v>
      </c>
      <c r="C24" s="19" t="s">
        <v>36</v>
      </c>
      <c r="D24" s="19" t="s">
        <v>37</v>
      </c>
      <c r="E24" s="19" t="s">
        <v>38</v>
      </c>
      <c r="F24" s="20" t="s">
        <v>39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0"/>
      <c r="B25" s="21" t="s">
        <v>40</v>
      </c>
      <c r="C25" s="21" t="s">
        <v>41</v>
      </c>
      <c r="D25" s="21" t="s">
        <v>42</v>
      </c>
      <c r="E25" s="21" t="s">
        <v>43</v>
      </c>
      <c r="F25" s="15" t="s">
        <v>44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0"/>
      <c r="B26" s="21" t="s">
        <v>45</v>
      </c>
      <c r="C26" s="21" t="s">
        <v>46</v>
      </c>
      <c r="D26" s="21" t="s">
        <v>42</v>
      </c>
      <c r="E26" s="22"/>
      <c r="F26" s="15" t="s">
        <v>44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0"/>
      <c r="B27" s="21" t="s">
        <v>47</v>
      </c>
      <c r="C27" s="21" t="s">
        <v>48</v>
      </c>
      <c r="D27" s="21" t="s">
        <v>49</v>
      </c>
      <c r="E27" s="22"/>
      <c r="F27" s="15" t="s">
        <v>44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0"/>
      <c r="B28" s="21" t="s">
        <v>50</v>
      </c>
      <c r="C28" s="21" t="s">
        <v>51</v>
      </c>
      <c r="D28" s="21" t="s">
        <v>49</v>
      </c>
      <c r="E28" s="22"/>
      <c r="F28" s="15" t="s">
        <v>44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0"/>
      <c r="B29" s="21" t="s">
        <v>52</v>
      </c>
      <c r="C29" s="21" t="s">
        <v>53</v>
      </c>
      <c r="D29" s="21" t="s">
        <v>54</v>
      </c>
      <c r="E29" s="21" t="s">
        <v>55</v>
      </c>
      <c r="F29" s="15" t="s">
        <v>56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0"/>
      <c r="B30" s="21" t="s">
        <v>57</v>
      </c>
      <c r="C30" s="21" t="s">
        <v>58</v>
      </c>
      <c r="D30" s="21" t="s">
        <v>42</v>
      </c>
      <c r="E30" s="21" t="s">
        <v>59</v>
      </c>
      <c r="F30" s="15" t="s">
        <v>56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0"/>
      <c r="B31" s="21" t="s">
        <v>60</v>
      </c>
      <c r="C31" s="21" t="s">
        <v>61</v>
      </c>
      <c r="D31" s="21" t="s">
        <v>62</v>
      </c>
      <c r="E31" s="21" t="s">
        <v>63</v>
      </c>
      <c r="F31" s="15" t="s">
        <v>56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0"/>
      <c r="B32" s="21" t="s">
        <v>64</v>
      </c>
      <c r="C32" s="21" t="s">
        <v>65</v>
      </c>
      <c r="D32" s="21" t="s">
        <v>54</v>
      </c>
      <c r="E32" s="22"/>
      <c r="F32" s="15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0">
        <v>1.0</v>
      </c>
      <c r="B33" s="21" t="s">
        <v>66</v>
      </c>
      <c r="C33" s="21" t="s">
        <v>67</v>
      </c>
      <c r="D33" s="21" t="s">
        <v>68</v>
      </c>
      <c r="E33" s="21" t="s">
        <v>69</v>
      </c>
      <c r="F33" s="15" t="s">
        <v>44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0">
        <v>2.0</v>
      </c>
      <c r="B34" s="21" t="s">
        <v>70</v>
      </c>
      <c r="C34" s="21" t="s">
        <v>71</v>
      </c>
      <c r="D34" s="21" t="s">
        <v>68</v>
      </c>
      <c r="E34" s="21" t="s">
        <v>72</v>
      </c>
      <c r="F34" s="15" t="s">
        <v>44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5" t="s">
        <v>73</v>
      </c>
      <c r="C35" s="14" t="s">
        <v>74</v>
      </c>
      <c r="D35" s="21" t="s">
        <v>54</v>
      </c>
      <c r="E35" s="21" t="s">
        <v>72</v>
      </c>
      <c r="F35" s="15" t="s">
        <v>44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15" t="s">
        <v>75</v>
      </c>
      <c r="C36" s="14" t="s">
        <v>76</v>
      </c>
      <c r="D36" s="21" t="s">
        <v>42</v>
      </c>
      <c r="E36" s="21" t="s">
        <v>72</v>
      </c>
      <c r="F36" s="15" t="s">
        <v>44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15" t="s">
        <v>77</v>
      </c>
      <c r="C37" s="14" t="s">
        <v>78</v>
      </c>
      <c r="D37" s="21" t="s">
        <v>42</v>
      </c>
      <c r="E37" s="21" t="s">
        <v>72</v>
      </c>
      <c r="F37" s="15" t="s">
        <v>44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15" t="s">
        <v>79</v>
      </c>
      <c r="C38" s="15" t="s">
        <v>80</v>
      </c>
      <c r="D38" s="21" t="s">
        <v>42</v>
      </c>
      <c r="E38" s="21" t="s">
        <v>72</v>
      </c>
      <c r="F38" s="15" t="s">
        <v>44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3" t="s">
        <v>81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7"/>
      <c r="C41" s="17"/>
      <c r="D41" s="1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0" t="s">
        <v>21</v>
      </c>
      <c r="B42" s="23" t="s">
        <v>82</v>
      </c>
      <c r="C42" s="23" t="s">
        <v>83</v>
      </c>
      <c r="D42" s="23" t="s">
        <v>38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0">
        <v>1.0</v>
      </c>
      <c r="B43" s="24" t="s">
        <v>13</v>
      </c>
      <c r="C43" s="24" t="s">
        <v>13</v>
      </c>
      <c r="D43" s="24" t="s">
        <v>84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0">
        <v>2.0</v>
      </c>
      <c r="B44" s="24" t="s">
        <v>85</v>
      </c>
      <c r="C44" s="24" t="s">
        <v>86</v>
      </c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0">
        <v>3.0</v>
      </c>
      <c r="B45" s="24" t="s">
        <v>87</v>
      </c>
      <c r="C45" s="24" t="s">
        <v>88</v>
      </c>
      <c r="D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0">
        <v>4.0</v>
      </c>
      <c r="B46" s="24" t="s">
        <v>89</v>
      </c>
      <c r="C46" s="24" t="s">
        <v>90</v>
      </c>
      <c r="D46" s="24" t="s">
        <v>91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0">
        <v>5.0</v>
      </c>
      <c r="B47" s="25"/>
      <c r="C47" s="22"/>
      <c r="D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0">
        <v>6.0</v>
      </c>
      <c r="B48" s="25"/>
      <c r="C48" s="25"/>
      <c r="D48" s="2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3" t="s">
        <v>92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2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27" t="s">
        <v>93</v>
      </c>
      <c r="C52" s="6"/>
      <c r="D52" s="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0" t="s">
        <v>21</v>
      </c>
      <c r="B53" s="28" t="s">
        <v>94</v>
      </c>
      <c r="C53" s="29" t="s">
        <v>38</v>
      </c>
      <c r="D53" s="29" t="s">
        <v>95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0">
        <v>1.0</v>
      </c>
      <c r="B54" s="21" t="s">
        <v>96</v>
      </c>
      <c r="C54" s="21" t="s">
        <v>97</v>
      </c>
      <c r="D54" s="14" t="s">
        <v>98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0">
        <v>2.0</v>
      </c>
      <c r="B55" s="24" t="s">
        <v>99</v>
      </c>
      <c r="C55" s="21" t="s">
        <v>97</v>
      </c>
      <c r="D55" s="14" t="s">
        <v>100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0">
        <v>3.0</v>
      </c>
      <c r="B56" s="24" t="s">
        <v>57</v>
      </c>
      <c r="C56" s="21" t="s">
        <v>101</v>
      </c>
      <c r="D56" s="14" t="s">
        <v>102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0"/>
      <c r="B57" s="24" t="s">
        <v>75</v>
      </c>
      <c r="C57" s="21" t="s">
        <v>103</v>
      </c>
      <c r="D57" s="14" t="s">
        <v>104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0"/>
      <c r="B58" s="24" t="s">
        <v>77</v>
      </c>
      <c r="C58" s="21" t="s">
        <v>103</v>
      </c>
      <c r="D58" s="14" t="s">
        <v>105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0">
        <v>4.0</v>
      </c>
      <c r="B59" s="21" t="s">
        <v>106</v>
      </c>
      <c r="C59" s="21" t="s">
        <v>97</v>
      </c>
      <c r="D59" s="14" t="s">
        <v>107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0">
        <v>5.0</v>
      </c>
      <c r="B60" s="21" t="s">
        <v>70</v>
      </c>
      <c r="C60" s="21" t="s">
        <v>97</v>
      </c>
      <c r="D60" s="14" t="s">
        <v>108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30" t="s">
        <v>109</v>
      </c>
      <c r="C62" s="6"/>
      <c r="D62" s="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31" t="s">
        <v>94</v>
      </c>
      <c r="C63" s="32" t="s">
        <v>38</v>
      </c>
      <c r="D63" s="29" t="s">
        <v>95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4" t="s">
        <v>79</v>
      </c>
      <c r="C64" s="14" t="s">
        <v>103</v>
      </c>
      <c r="D64" s="14" t="s">
        <v>110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5" t="s">
        <v>111</v>
      </c>
      <c r="C65" s="15" t="s">
        <v>101</v>
      </c>
      <c r="D65" s="14" t="s">
        <v>112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5" t="s">
        <v>113</v>
      </c>
      <c r="C66" s="15" t="s">
        <v>114</v>
      </c>
      <c r="D66" s="14" t="s">
        <v>115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5" t="s">
        <v>47</v>
      </c>
      <c r="C67" s="21" t="s">
        <v>101</v>
      </c>
      <c r="D67" s="14" t="s">
        <v>116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5" t="s">
        <v>50</v>
      </c>
      <c r="C68" s="21" t="s">
        <v>101</v>
      </c>
      <c r="D68" s="14" t="s">
        <v>116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5" t="s">
        <v>73</v>
      </c>
      <c r="C69" s="15" t="s">
        <v>117</v>
      </c>
      <c r="D69" s="14" t="s">
        <v>118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4" t="s">
        <v>64</v>
      </c>
      <c r="C70" s="15" t="s">
        <v>117</v>
      </c>
      <c r="D70" s="14" t="s">
        <v>119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0">
    <mergeCell ref="C13:E13"/>
    <mergeCell ref="B52:D52"/>
    <mergeCell ref="B62:D62"/>
    <mergeCell ref="C6:E6"/>
    <mergeCell ref="C7:E7"/>
    <mergeCell ref="C8:E8"/>
    <mergeCell ref="C9:E9"/>
    <mergeCell ref="C10:E10"/>
    <mergeCell ref="C11:E11"/>
    <mergeCell ref="C12:E12"/>
  </mergeCells>
  <dataValidations>
    <dataValidation type="list" allowBlank="1" showErrorMessage="1" sqref="F25:F38">
      <formula1>"Базовые,Производные"</formula1>
    </dataValidation>
  </dataValidations>
  <hyperlinks>
    <hyperlink r:id="rId1" ref="C13"/>
  </hyperlinks>
  <printOptions/>
  <pageMargins bottom="0.7519685039370079" footer="0.0" header="0.0" left="0.7007874015748032" right="0.7007874015748032" top="0.7519685039370079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